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ancial Overview" sheetId="2" state="visible" r:id="rId2"/>
    <sheet xmlns:r="http://schemas.openxmlformats.org/officeDocument/2006/relationships" name="Service Line Revenue" sheetId="3" state="visible" r:id="rId3"/>
    <sheet xmlns:r="http://schemas.openxmlformats.org/officeDocument/2006/relationships" name="Service Line Profitability" sheetId="4" state="visible" r:id="rId4"/>
    <sheet xmlns:r="http://schemas.openxmlformats.org/officeDocument/2006/relationships" name="Client Pipeline" sheetId="5" state="visible" r:id="rId5"/>
    <sheet xmlns:r="http://schemas.openxmlformats.org/officeDocument/2006/relationships" name="Client KPIs" sheetId="6" state="visible" r:id="rId6"/>
    <sheet xmlns:r="http://schemas.openxmlformats.org/officeDocument/2006/relationships" name="Sector Performance" sheetId="7" state="visible" r:id="rId7"/>
    <sheet xmlns:r="http://schemas.openxmlformats.org/officeDocument/2006/relationships" name="Practice Costs" sheetId="8" state="visible" r:id="rId8"/>
    <sheet xmlns:r="http://schemas.openxmlformats.org/officeDocument/2006/relationships" name="Outloo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Engagement Funnel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'Client Pipeline'!B1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'Client Pipeline'!$A$2:$A$5</f>
            </numRef>
          </cat>
          <val>
            <numRef>
              <f>'Client Pipeline'!$B$2:$B$5</f>
            </numRef>
          </val>
        </ser>
        <ser>
          <idx val="1"/>
          <order val="1"/>
          <tx>
            <strRef>
              <f>'Client Pipeline'!C1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'Client Pipeline'!$A$2:$A$5</f>
            </numRef>
          </cat>
          <val>
            <numRef>
              <f>'Client Pipeline'!$C$2:$C$5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Q4 Actual</t>
        </is>
      </c>
    </row>
    <row r="2">
      <c r="A2" t="inlineStr">
        <is>
          <t>Advisory Revenue</t>
        </is>
      </c>
      <c r="B2" t="n">
        <v>522.8</v>
      </c>
    </row>
    <row r="3">
      <c r="A3" t="inlineStr">
        <is>
          <t>Contribution Profit</t>
        </is>
      </c>
      <c r="B3" t="n">
        <v>129.6</v>
      </c>
    </row>
    <row r="4">
      <c r="A4" t="inlineStr">
        <is>
          <t>Contribution Margin</t>
        </is>
      </c>
      <c r="B4" t="n">
        <v>24.8</v>
      </c>
    </row>
    <row r="5">
      <c r="A5" t="inlineStr">
        <is>
          <t>Active Engagements</t>
        </is>
      </c>
      <c r="B5" t="n">
        <v>1286</v>
      </c>
    </row>
    <row r="6">
      <c r="A6" t="inlineStr">
        <is>
          <t>Repeat Client Rate</t>
        </is>
      </c>
      <c r="B6" t="n">
        <v>84.90000000000001</v>
      </c>
    </row>
    <row r="7">
      <c r="A7" t="inlineStr">
        <is>
          <t>Billable Utilization</t>
        </is>
      </c>
      <c r="B7" t="n">
        <v>78.59999999999999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1" t="inlineStr">
        <is>
          <t>Metric</t>
        </is>
      </c>
      <c r="B1" s="1" t="inlineStr">
        <is>
          <t>Q4 Actual</t>
        </is>
      </c>
      <c r="C1" s="1" t="inlineStr">
        <is>
          <t>Q4 Budget</t>
        </is>
      </c>
    </row>
    <row r="2">
      <c r="A2" t="inlineStr">
        <is>
          <t>Advisory Revenue</t>
        </is>
      </c>
      <c r="B2" t="n">
        <v>522.8</v>
      </c>
      <c r="C2" t="n">
        <v>510</v>
      </c>
    </row>
    <row r="3">
      <c r="A3" t="inlineStr">
        <is>
          <t>Client Delivery Costs</t>
        </is>
      </c>
      <c r="B3" t="n">
        <v>254.4</v>
      </c>
      <c r="C3" t="n">
        <v>249</v>
      </c>
    </row>
    <row r="4">
      <c r="A4" t="inlineStr">
        <is>
          <t>Gross Contribution</t>
        </is>
      </c>
      <c r="B4" t="n">
        <v>268.4</v>
      </c>
      <c r="C4" t="n">
        <v>261</v>
      </c>
    </row>
    <row r="5">
      <c r="A5" t="inlineStr">
        <is>
          <t>Practice Expenses</t>
        </is>
      </c>
      <c r="B5" t="n">
        <v>138.8</v>
      </c>
      <c r="C5" t="n">
        <v>137</v>
      </c>
    </row>
    <row r="6">
      <c r="A6" t="inlineStr">
        <is>
          <t>Contribution Profit</t>
        </is>
      </c>
      <c r="B6" t="n">
        <v>129.6</v>
      </c>
      <c r="C6" t="n">
        <v>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1" t="inlineStr">
        <is>
          <t>Service Line</t>
        </is>
      </c>
      <c r="B1" s="1" t="inlineStr">
        <is>
          <t>Q4 Actual Revenue</t>
        </is>
      </c>
      <c r="C1" s="1" t="inlineStr">
        <is>
          <t>Q4 Budget Revenue</t>
        </is>
      </c>
    </row>
    <row r="2">
      <c r="A2" t="inlineStr">
        <is>
          <t>Deal Advisory</t>
        </is>
      </c>
      <c r="B2" t="n">
        <v>154.7</v>
      </c>
      <c r="C2" t="n">
        <v>149</v>
      </c>
    </row>
    <row r="3">
      <c r="A3" t="inlineStr">
        <is>
          <t>Risk Consulting</t>
        </is>
      </c>
      <c r="B3" t="n">
        <v>139.2</v>
      </c>
      <c r="C3" t="n">
        <v>136</v>
      </c>
    </row>
    <row r="4">
      <c r="A4" t="inlineStr">
        <is>
          <t>Technology Consulting</t>
        </is>
      </c>
      <c r="B4" t="n">
        <v>131.8</v>
      </c>
      <c r="C4" t="n">
        <v>128</v>
      </c>
    </row>
    <row r="5">
      <c r="A5" t="inlineStr">
        <is>
          <t>Strategy &amp; Operations</t>
        </is>
      </c>
      <c r="B5" t="n">
        <v>97.09999999999999</v>
      </c>
      <c r="C5" t="n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5" customWidth="1" min="3" max="3"/>
  </cols>
  <sheetData>
    <row r="1">
      <c r="A1" s="1" t="inlineStr">
        <is>
          <t>Service Line</t>
        </is>
      </c>
      <c r="B1" s="1" t="inlineStr">
        <is>
          <t>Q4 Delivery Margin</t>
        </is>
      </c>
      <c r="C1" s="1" t="inlineStr">
        <is>
          <t>Q4 Contribution Margin</t>
        </is>
      </c>
    </row>
    <row r="2">
      <c r="A2" t="inlineStr">
        <is>
          <t>Deal Advisory</t>
        </is>
      </c>
      <c r="B2" t="n">
        <v>58.2</v>
      </c>
      <c r="C2" t="n">
        <v>29.1</v>
      </c>
    </row>
    <row r="3">
      <c r="A3" t="inlineStr">
        <is>
          <t>Risk Consulting</t>
        </is>
      </c>
      <c r="B3" t="n">
        <v>54.1</v>
      </c>
      <c r="C3" t="n">
        <v>25</v>
      </c>
    </row>
    <row r="4">
      <c r="A4" t="inlineStr">
        <is>
          <t>Technology Consulting</t>
        </is>
      </c>
      <c r="B4" t="n">
        <v>51.3</v>
      </c>
      <c r="C4" t="n">
        <v>22.2</v>
      </c>
    </row>
    <row r="5">
      <c r="A5" t="inlineStr">
        <is>
          <t>Strategy &amp; Operations</t>
        </is>
      </c>
      <c r="B5" t="n">
        <v>47.4</v>
      </c>
      <c r="C5" t="n">
        <v>19.7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9" customWidth="1" min="3" max="3"/>
    <col width="26" customWidth="1" min="4" max="4"/>
  </cols>
  <sheetData>
    <row r="1">
      <c r="A1" s="1" t="inlineStr">
        <is>
          <t>Channel</t>
        </is>
      </c>
      <c r="B1" s="1" t="inlineStr">
        <is>
          <t>Q4 New Engagements</t>
        </is>
      </c>
      <c r="C1" s="1" t="inlineStr">
        <is>
          <t>Q4 Qualified Opportunities</t>
        </is>
      </c>
      <c r="D1" s="1" t="inlineStr">
        <is>
          <t>Q4 Average Pursuit Cost</t>
        </is>
      </c>
    </row>
    <row r="2">
      <c r="A2" t="inlineStr">
        <is>
          <t>Existing Clients</t>
        </is>
      </c>
      <c r="B2" t="n">
        <v>132</v>
      </c>
      <c r="C2" t="n">
        <v>318</v>
      </c>
      <c r="D2" t="n">
        <v>9600</v>
      </c>
    </row>
    <row r="3">
      <c r="A3" t="inlineStr">
        <is>
          <t>Strategic Partners</t>
        </is>
      </c>
      <c r="B3" t="n">
        <v>83</v>
      </c>
      <c r="C3" t="n">
        <v>226</v>
      </c>
      <c r="D3" t="n">
        <v>15900</v>
      </c>
    </row>
    <row r="4">
      <c r="A4" t="inlineStr">
        <is>
          <t>Digital Campaigns</t>
        </is>
      </c>
      <c r="B4" t="n">
        <v>74</v>
      </c>
      <c r="C4" t="n">
        <v>224</v>
      </c>
      <c r="D4" t="n">
        <v>20700</v>
      </c>
    </row>
    <row r="5">
      <c r="A5" t="inlineStr">
        <is>
          <t>Executive Events</t>
        </is>
      </c>
      <c r="B5" t="n">
        <v>39</v>
      </c>
      <c r="C5" t="n">
        <v>112</v>
      </c>
      <c r="D5" t="n">
        <v>25300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Q4 Actual</t>
        </is>
      </c>
    </row>
    <row r="2">
      <c r="A2" t="inlineStr">
        <is>
          <t>New Engagements</t>
        </is>
      </c>
      <c r="B2" t="n">
        <v>328</v>
      </c>
    </row>
    <row r="3">
      <c r="A3" t="inlineStr">
        <is>
          <t>Proposal Win Rate</t>
        </is>
      </c>
      <c r="B3" t="n">
        <v>41.3</v>
      </c>
    </row>
    <row r="4">
      <c r="A4" t="inlineStr">
        <is>
          <t>Average Pursuit Cost</t>
        </is>
      </c>
      <c r="B4" t="n">
        <v>17600</v>
      </c>
    </row>
    <row r="5">
      <c r="A5" t="inlineStr">
        <is>
          <t>Expansion Revenue</t>
        </is>
      </c>
      <c r="B5" t="n">
        <v>49.6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Sector</t>
        </is>
      </c>
      <c r="B1" s="1" t="inlineStr">
        <is>
          <t>Q4 Revenue</t>
        </is>
      </c>
      <c r="C1" s="1" t="inlineStr">
        <is>
          <t>Q4 Contribution</t>
        </is>
      </c>
      <c r="D1" s="1" t="inlineStr">
        <is>
          <t>Q4 Margin</t>
        </is>
      </c>
    </row>
    <row r="2">
      <c r="A2" t="inlineStr">
        <is>
          <t>Financial Services</t>
        </is>
      </c>
      <c r="B2" t="n">
        <v>168.2</v>
      </c>
      <c r="C2" t="n">
        <v>44.9</v>
      </c>
      <c r="D2" t="n">
        <v>26.7</v>
      </c>
    </row>
    <row r="3">
      <c r="A3" t="inlineStr">
        <is>
          <t>Consumer &amp; Retail</t>
        </is>
      </c>
      <c r="B3" t="n">
        <v>127.5</v>
      </c>
      <c r="C3" t="n">
        <v>30.6</v>
      </c>
      <c r="D3" t="n">
        <v>24</v>
      </c>
    </row>
    <row r="4">
      <c r="A4" t="inlineStr">
        <is>
          <t>Healthcare</t>
        </is>
      </c>
      <c r="B4" t="n">
        <v>118.4</v>
      </c>
      <c r="C4" t="n">
        <v>28.1</v>
      </c>
      <c r="D4" t="n">
        <v>23.7</v>
      </c>
    </row>
    <row r="5">
      <c r="A5" t="inlineStr">
        <is>
          <t>Technology</t>
        </is>
      </c>
      <c r="B5" t="n">
        <v>108.7</v>
      </c>
      <c r="C5" t="n">
        <v>26</v>
      </c>
      <c r="D5" t="n">
        <v>23.9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1" t="inlineStr">
        <is>
          <t>Function</t>
        </is>
      </c>
      <c r="B1" s="1" t="inlineStr">
        <is>
          <t>Q4 Actual Costs</t>
        </is>
      </c>
      <c r="C1" s="1" t="inlineStr">
        <is>
          <t>Q4 Budget Costs</t>
        </is>
      </c>
    </row>
    <row r="2">
      <c r="A2" t="inlineStr">
        <is>
          <t>Business Development</t>
        </is>
      </c>
      <c r="B2" t="n">
        <v>41.2</v>
      </c>
      <c r="C2" t="n">
        <v>40.5</v>
      </c>
    </row>
    <row r="3">
      <c r="A3" t="inlineStr">
        <is>
          <t>Technology Enablement</t>
        </is>
      </c>
      <c r="B3" t="n">
        <v>34.7</v>
      </c>
      <c r="C3" t="n">
        <v>34</v>
      </c>
    </row>
    <row r="4">
      <c r="A4" t="inlineStr">
        <is>
          <t>Talent &amp; Learning</t>
        </is>
      </c>
      <c r="B4" t="n">
        <v>30.8</v>
      </c>
      <c r="C4" t="n">
        <v>31</v>
      </c>
    </row>
    <row r="5">
      <c r="A5" t="inlineStr">
        <is>
          <t>Practice Operations</t>
        </is>
      </c>
      <c r="B5" t="n">
        <v>32.1</v>
      </c>
      <c r="C5" t="n">
        <v>31.5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Q4 Forecast</t>
        </is>
      </c>
    </row>
    <row r="2">
      <c r="A2" t="inlineStr">
        <is>
          <t>Forecast Revenue</t>
        </is>
      </c>
      <c r="B2" t="n">
        <v>558</v>
      </c>
    </row>
    <row r="3">
      <c r="A3" t="inlineStr">
        <is>
          <t>Forecast Contribution</t>
        </is>
      </c>
      <c r="B3" t="n">
        <v>143.5</v>
      </c>
    </row>
    <row r="4">
      <c r="A4" t="inlineStr">
        <is>
          <t>Forecast Contribution Margin</t>
        </is>
      </c>
      <c r="B4" t="n">
        <v>25.7</v>
      </c>
    </row>
    <row r="5">
      <c r="A5" t="inlineStr">
        <is>
          <t>Pipeline Coverage</t>
        </is>
      </c>
      <c r="B5" t="n">
        <v>3.5</v>
      </c>
    </row>
    <row r="6">
      <c r="A6" t="inlineStr">
        <is>
          <t>Contracted Backlog</t>
        </is>
      </c>
      <c r="B6" t="n">
        <v>352.4</v>
      </c>
    </row>
    <row r="7">
      <c r="A7" t="inlineStr">
        <is>
          <t>Forecast Utilization</t>
        </is>
      </c>
      <c r="B7" t="n">
        <v>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2026-07-15T05:55:13Z</dcterms:created>
  <dcterms:modified xmlns:dcterms="http://purl.org/dc/terms/" xmlns:xsi="http://www.w3.org/2001/XMLSchema-instance" xsi:type="dcterms:W3CDTF">2026-07-15T05:55:13Z</dcterms:modified>
</cp:coreProperties>
</file>